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gment Metrics" sheetId="1" state="visible" r:id="rId3"/>
    <sheet name="Key Findings" sheetId="2" state="visible" r:id="rId4"/>
    <sheet name="Model &amp; AB Test" sheetId="3" state="visible" r:id="rId5"/>
    <sheet name="Playbook Contents" sheetId="4" state="visible" r:id="rId6"/>
    <sheet name="Review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<sst xmlns="http://schemas.openxmlformats.org/spreadsheetml/2006/main" count="142" uniqueCount="132">
  <si>
    <r>
      <rPr>
        <b val="true"/>
        <sz val="14"/>
        <rFont val="Noto Sans CJK SC"/>
        <family val="2"/>
      </rPr>
      <t xml:space="preserve">客群指标（</t>
    </r>
    <r>
      <rPr>
        <b val="true"/>
        <sz val="14"/>
        <rFont val="Arial"/>
        <family val="0"/>
        <charset val="1"/>
      </rPr>
      <t xml:space="preserve">Customer Segment Playbook </t>
    </r>
    <r>
      <rPr>
        <b val="true"/>
        <sz val="14"/>
        <rFont val="Noto Sans CJK SC"/>
        <family val="2"/>
      </rPr>
      <t xml:space="preserve">数据底表）</t>
    </r>
  </si>
  <si>
    <r>
      <rPr>
        <i val="true"/>
        <sz val="9"/>
        <color rgb="FF595959"/>
        <rFont val="Noto Sans CJK SC"/>
        <family val="2"/>
      </rPr>
      <t xml:space="preserve">蓝色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从 </t>
    </r>
    <r>
      <rPr>
        <i val="true"/>
        <sz val="9"/>
        <color rgb="FF595959"/>
        <rFont val="Arial"/>
        <family val="0"/>
        <charset val="1"/>
      </rPr>
      <t xml:space="preserve">customer_features / customer_segments </t>
    </r>
    <r>
      <rPr>
        <i val="true"/>
        <sz val="9"/>
        <color rgb="FF595959"/>
        <rFont val="Noto Sans CJK SC"/>
        <family val="2"/>
      </rPr>
      <t xml:space="preserve">表算出的输入值；黑色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公式。金额为过去 </t>
    </r>
    <r>
      <rPr>
        <i val="true"/>
        <sz val="9"/>
        <color rgb="FF595959"/>
        <rFont val="Arial"/>
        <family val="0"/>
        <charset val="1"/>
      </rPr>
      <t xml:space="preserve">2 </t>
    </r>
    <r>
      <rPr>
        <i val="true"/>
        <sz val="9"/>
        <color rgb="FF595959"/>
        <rFont val="Noto Sans CJK SC"/>
        <family val="2"/>
      </rPr>
      <t xml:space="preserve">年累计。</t>
    </r>
  </si>
  <si>
    <t xml:space="preserve">Segment</t>
  </si>
  <si>
    <t xml:space="preserve">客户数</t>
  </si>
  <si>
    <t xml:space="preserve">客户占比</t>
  </si>
  <si>
    <r>
      <rPr>
        <b val="true"/>
        <sz val="11"/>
        <color rgb="FFFFFFFF"/>
        <rFont val="Noto Sans CJK SC"/>
        <family val="2"/>
      </rPr>
      <t xml:space="preserve">平均消费 </t>
    </r>
    <r>
      <rPr>
        <b val="true"/>
        <sz val="11"/>
        <color rgb="FFFFFFFF"/>
        <rFont val="Arial"/>
        <family val="0"/>
        <charset val="1"/>
      </rPr>
      <t xml:space="preserve">($)</t>
    </r>
  </si>
  <si>
    <r>
      <rPr>
        <b val="true"/>
        <sz val="11"/>
        <color rgb="FFFFFFFF"/>
        <rFont val="Noto Sans CJK SC"/>
        <family val="2"/>
      </rPr>
      <t xml:space="preserve">总消费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</si>
  <si>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收入贡献</t>
  </si>
  <si>
    <r>
      <rPr>
        <b val="true"/>
        <sz val="11"/>
        <color rgb="FFFFFFFF"/>
        <rFont val="Noto Sans CJK SC"/>
        <family val="2"/>
      </rPr>
      <t xml:space="preserve">平均收入 </t>
    </r>
    <r>
      <rPr>
        <b val="true"/>
        <sz val="11"/>
        <color rgb="FFFFFFFF"/>
        <rFont val="Arial"/>
        <family val="0"/>
        <charset val="1"/>
      </rPr>
      <t xml:space="preserve">($)</t>
    </r>
  </si>
  <si>
    <t xml:space="preserve">平均年龄</t>
  </si>
  <si>
    <t xml:space="preserve">平均孩子数</t>
  </si>
  <si>
    <t xml:space="preserve">父母占比</t>
  </si>
  <si>
    <r>
      <rPr>
        <b val="true"/>
        <sz val="11"/>
        <color rgb="FFFFFFFF"/>
        <rFont val="Noto Sans CJK SC"/>
        <family val="2"/>
      </rPr>
      <t xml:space="preserve">客单价 </t>
    </r>
    <r>
      <rPr>
        <b val="true"/>
        <sz val="11"/>
        <color rgb="FFFFFFFF"/>
        <rFont val="Arial"/>
        <family val="0"/>
        <charset val="1"/>
      </rPr>
      <t xml:space="preserve">($)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</si>
  <si>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年购买次数</t>
    </r>
  </si>
  <si>
    <r>
      <rPr>
        <b val="true"/>
        <sz val="11"/>
        <color rgb="FFFFFFFF"/>
        <rFont val="Arial"/>
        <family val="0"/>
        <charset val="1"/>
      </rPr>
      <t xml:space="preserve">Recency (</t>
    </r>
    <r>
      <rPr>
        <b val="true"/>
        <sz val="11"/>
        <color rgb="FFFFFFFF"/>
        <rFont val="Noto Sans CJK SC"/>
        <family val="2"/>
      </rPr>
      <t xml:space="preserve">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</si>
  <si>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Tenure (</t>
    </r>
    <r>
      <rPr>
        <b val="true"/>
        <sz val="11"/>
        <color rgb="FFFFFFFF"/>
        <rFont val="Noto Sans CJK SC"/>
        <family val="2"/>
      </rPr>
      <t xml:space="preserve">天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</si>
  <si>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门店占比</t>
  </si>
  <si>
    <t xml:space="preserve">网购占比</t>
  </si>
  <si>
    <t xml:space="preserve">目录占比</t>
  </si>
  <si>
    <t xml:space="preserve">折扣购买占比</t>
  </si>
  <si>
    <t xml:space="preserve">月均网站访问</t>
  </si>
  <si>
    <t xml:space="preserve">葡萄酒占比</t>
  </si>
  <si>
    <t xml:space="preserve">肉类占比</t>
  </si>
  <si>
    <t xml:space="preserve">黄金类占比</t>
  </si>
  <si>
    <t xml:space="preserve">响应率</t>
  </si>
  <si>
    <t xml:space="preserve">曾接受过活动占比</t>
  </si>
  <si>
    <t xml:space="preserve">Affluent High-Value</t>
  </si>
  <si>
    <t xml:space="preserve">Established Families</t>
  </si>
  <si>
    <t xml:space="preserve">Price-Sensitive New</t>
  </si>
  <si>
    <t xml:space="preserve">Young Online Browsers</t>
  </si>
  <si>
    <r>
      <rPr>
        <b val="true"/>
        <sz val="11"/>
        <rFont val="Noto Sans CJK SC"/>
        <family val="2"/>
      </rPr>
      <t xml:space="preserve">合计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加权平均</t>
    </r>
  </si>
  <si>
    <t xml:space="preserve">说明</t>
  </si>
  <si>
    <r>
      <rPr>
        <i val="true"/>
        <sz val="9"/>
        <color rgb="FF595959"/>
        <rFont val="Noto Sans CJK SC"/>
        <family val="2"/>
      </rPr>
      <t xml:space="preserve">总消费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客户数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平均消费；平均消费为四舍五入后的值，所以收入贡献与原文可能有 </t>
    </r>
    <r>
      <rPr>
        <i val="true"/>
        <sz val="9"/>
        <color rgb="FF595959"/>
        <rFont val="Arial"/>
        <family val="0"/>
        <charset val="1"/>
      </rPr>
      <t xml:space="preserve">±0.1 </t>
    </r>
    <r>
      <rPr>
        <i val="true"/>
        <sz val="9"/>
        <color rgb="FF595959"/>
        <rFont val="Noto Sans CJK SC"/>
        <family val="2"/>
      </rPr>
      <t xml:space="preserve">个百分点的差异。</t>
    </r>
  </si>
  <si>
    <t xml:space="preserve">合计行的平均收入、年龄、响应率等为按客户数加权的平均值；渠道和品类占比按客群单独计算，不做合计。</t>
  </si>
  <si>
    <r>
      <rPr>
        <i val="true"/>
        <sz val="9"/>
        <color rgb="FF595959"/>
        <rFont val="Noto Sans CJK SC"/>
        <family val="2"/>
      </rPr>
      <t xml:space="preserve">样本：</t>
    </r>
    <r>
      <rPr>
        <i val="true"/>
        <sz val="9"/>
        <color rgb="FF595959"/>
        <rFont val="Arial"/>
        <family val="0"/>
        <charset val="1"/>
      </rPr>
      <t xml:space="preserve">2,205 </t>
    </r>
    <r>
      <rPr>
        <i val="true"/>
        <sz val="9"/>
        <color rgb="FF595959"/>
        <rFont val="Noto Sans CJK SC"/>
        <family val="2"/>
      </rPr>
      <t xml:space="preserve">名可建模客户（</t>
    </r>
    <r>
      <rPr>
        <i val="true"/>
        <sz val="9"/>
        <color rgb="FF595959"/>
        <rFont val="Arial"/>
        <family val="0"/>
        <charset val="1"/>
      </rPr>
      <t xml:space="preserve">is_model_ready</t>
    </r>
    <r>
      <rPr>
        <i val="true"/>
        <sz val="9"/>
        <color rgb="FF595959"/>
        <rFont val="Noto Sans CJK SC"/>
        <family val="2"/>
      </rPr>
      <t xml:space="preserve">），入会时间 </t>
    </r>
    <r>
      <rPr>
        <i val="true"/>
        <sz val="9"/>
        <color rgb="FF595959"/>
        <rFont val="Arial"/>
        <family val="0"/>
        <charset val="1"/>
      </rPr>
      <t xml:space="preserve">2012-07 </t>
    </r>
    <r>
      <rPr>
        <i val="true"/>
        <sz val="9"/>
        <color rgb="FF595959"/>
        <rFont val="Noto Sans CJK SC"/>
        <family val="2"/>
      </rPr>
      <t xml:space="preserve">至 </t>
    </r>
    <r>
      <rPr>
        <i val="true"/>
        <sz val="9"/>
        <color rgb="FF595959"/>
        <rFont val="Arial"/>
        <family val="0"/>
        <charset val="1"/>
      </rPr>
      <t xml:space="preserve">2014-06</t>
    </r>
    <r>
      <rPr>
        <i val="true"/>
        <sz val="9"/>
        <color rgb="FF595959"/>
        <rFont val="Noto Sans CJK SC"/>
        <family val="2"/>
      </rPr>
      <t xml:space="preserve">。来源：</t>
    </r>
    <r>
      <rPr>
        <i val="true"/>
        <sz val="9"/>
        <color rgb="FF595959"/>
        <rFont val="Arial"/>
        <family val="0"/>
        <charset val="1"/>
      </rPr>
      <t xml:space="preserve">Kaggle Customer Personality Analysis </t>
    </r>
    <r>
      <rPr>
        <i val="true"/>
        <sz val="9"/>
        <color rgb="FF595959"/>
        <rFont val="Noto Sans CJK SC"/>
        <family val="2"/>
      </rPr>
      <t xml:space="preserve">公开数据集。</t>
    </r>
  </si>
  <si>
    <r>
      <rPr>
        <i val="true"/>
        <sz val="9"/>
        <color rgb="FF595959"/>
        <rFont val="Noto Sans CJK SC"/>
        <family val="2"/>
      </rPr>
      <t xml:space="preserve">整体响应率 </t>
    </r>
    <r>
      <rPr>
        <i val="true"/>
        <sz val="9"/>
        <color rgb="FF595959"/>
        <rFont val="Arial"/>
        <family val="0"/>
        <charset val="1"/>
      </rPr>
      <t xml:space="preserve">15.1%</t>
    </r>
    <r>
      <rPr>
        <i val="true"/>
        <sz val="9"/>
        <color rgb="FF595959"/>
        <rFont val="Noto Sans CJK SC"/>
        <family val="2"/>
      </rPr>
      <t xml:space="preserve">（合计行 </t>
    </r>
    <r>
      <rPr>
        <i val="true"/>
        <sz val="9"/>
        <color rgb="FF595959"/>
        <rFont val="Arial"/>
        <family val="0"/>
        <charset val="1"/>
      </rPr>
      <t xml:space="preserve">W </t>
    </r>
    <r>
      <rPr>
        <i val="true"/>
        <sz val="9"/>
        <color rgb="FF595959"/>
        <rFont val="Noto Sans CJK SC"/>
        <family val="2"/>
      </rPr>
      <t xml:space="preserve">列的加权结果应与之一致）。</t>
    </r>
  </si>
  <si>
    <t xml:space="preserve">关键发现</t>
  </si>
  <si>
    <t xml:space="preserve">比较两组客户的响应率或行为指标；倍数列为公式。</t>
  </si>
  <si>
    <t xml:space="preserve">#</t>
  </si>
  <si>
    <t xml:space="preserve">发现</t>
  </si>
  <si>
    <r>
      <rPr>
        <b val="true"/>
        <sz val="11"/>
        <color rgb="FFFFFFFF"/>
        <rFont val="Noto Sans CJK SC"/>
        <family val="2"/>
      </rPr>
      <t xml:space="preserve">对比组 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</si>
  <si>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</si>
  <si>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Noto Sans CJK SC"/>
        <family val="2"/>
      </rPr>
      <t xml:space="preserve">对比组 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</si>
  <si>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值</t>
    </r>
  </si>
  <si>
    <r>
      <rPr>
        <b val="true"/>
        <sz val="11"/>
        <color rgb="FFFFFFFF"/>
        <rFont val="Arial"/>
        <family val="0"/>
        <charset val="1"/>
      </rPr>
      <t xml:space="preserve">A / B </t>
    </r>
    <r>
      <rPr>
        <b val="true"/>
        <sz val="11"/>
        <color rgb="FFFFFFFF"/>
        <rFont val="Noto Sans CJK SC"/>
        <family val="2"/>
      </rPr>
      <t xml:space="preserve">倍数</t>
    </r>
  </si>
  <si>
    <t xml:space="preserve">对策略的含义</t>
  </si>
  <si>
    <t xml:space="preserve">以前接受过活动的客户响应率高得多</t>
  </si>
  <si>
    <r>
      <rPr>
        <sz val="11"/>
        <rFont val="Noto Sans CJK SC"/>
        <family val="2"/>
      </rPr>
      <t xml:space="preserve">接受过任意一次前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次活动</t>
    </r>
  </si>
  <si>
    <t xml:space="preserve">从未接受过</t>
  </si>
  <si>
    <t xml:space="preserve">历史响应是最强的信号之一；优先联系接受过活动的客户。</t>
  </si>
  <si>
    <t xml:space="preserve">最近购买的客户更容易响应（全体）</t>
  </si>
  <si>
    <r>
      <rPr>
        <sz val="11"/>
        <rFont val="Arial"/>
        <family val="0"/>
        <charset val="1"/>
      </rPr>
      <t xml:space="preserve">R </t>
    </r>
    <r>
      <rPr>
        <sz val="11"/>
        <rFont val="Noto Sans CJK SC"/>
        <family val="2"/>
      </rPr>
      <t xml:space="preserve">分 </t>
    </r>
    <r>
      <rPr>
        <sz val="11"/>
        <rFont val="Arial"/>
        <family val="0"/>
        <charset val="1"/>
      </rPr>
      <t xml:space="preserve">= 5</t>
    </r>
    <r>
      <rPr>
        <sz val="11"/>
        <rFont val="Noto Sans CJK SC"/>
        <family val="2"/>
      </rPr>
      <t xml:space="preserve">（最近 </t>
    </r>
    <r>
      <rPr>
        <sz val="11"/>
        <rFont val="Arial"/>
        <family val="0"/>
        <charset val="1"/>
      </rPr>
      <t xml:space="preserve">20%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</si>
  <si>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R </t>
    </r>
    <r>
      <rPr>
        <sz val="11"/>
        <rFont val="Noto Sans CJK SC"/>
        <family val="2"/>
      </rPr>
      <t xml:space="preserve">分 </t>
    </r>
    <r>
      <rPr>
        <sz val="11"/>
        <rFont val="Arial"/>
        <family val="0"/>
        <charset val="1"/>
      </rPr>
      <t xml:space="preserve">= 1</t>
    </r>
    <r>
      <rPr>
        <sz val="11"/>
        <rFont val="Noto Sans CJK SC"/>
        <family val="2"/>
      </rPr>
      <t xml:space="preserve">（最久 </t>
    </r>
    <r>
      <rPr>
        <sz val="11"/>
        <rFont val="Arial"/>
        <family val="0"/>
        <charset val="1"/>
      </rPr>
      <t xml:space="preserve">20%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</si>
  <si>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Recency </t>
    </r>
    <r>
      <rPr>
        <sz val="11"/>
        <rFont val="Noto Sans CJK SC"/>
        <family val="2"/>
      </rPr>
      <t xml:space="preserve">对模型很重要；按最近购买时间安排触达。</t>
    </r>
  </si>
  <si>
    <r>
      <rPr>
        <b val="true"/>
        <sz val="11"/>
        <rFont val="Arial"/>
        <family val="0"/>
        <charset val="1"/>
      </rPr>
      <t xml:space="preserve">Young Online Browsers</t>
    </r>
    <r>
      <rPr>
        <b val="true"/>
        <sz val="11"/>
        <rFont val="Noto Sans CJK SC"/>
        <family val="2"/>
      </rPr>
      <t xml:space="preserve">：趁热打铁很关键</t>
    </r>
  </si>
  <si>
    <r>
      <rPr>
        <sz val="11"/>
        <rFont val="Arial"/>
        <family val="0"/>
        <charset val="1"/>
      </rPr>
      <t xml:space="preserve">30 </t>
    </r>
    <r>
      <rPr>
        <sz val="11"/>
        <rFont val="Noto Sans CJK SC"/>
        <family val="2"/>
      </rPr>
      <t xml:space="preserve">天内买过</t>
    </r>
  </si>
  <si>
    <r>
      <rPr>
        <sz val="11"/>
        <rFont val="Arial"/>
        <family val="0"/>
        <charset val="1"/>
      </rPr>
      <t xml:space="preserve">60 </t>
    </r>
    <r>
      <rPr>
        <sz val="11"/>
        <rFont val="Noto Sans CJK SC"/>
        <family val="2"/>
      </rPr>
      <t xml:space="preserve">天以上没买</t>
    </r>
  </si>
  <si>
    <r>
      <rPr>
        <sz val="11"/>
        <rFont val="Noto Sans CJK SC"/>
        <family val="2"/>
      </rPr>
      <t xml:space="preserve">针对这个群，在最近购买后 </t>
    </r>
    <r>
      <rPr>
        <sz val="11"/>
        <rFont val="Arial"/>
        <family val="0"/>
        <charset val="1"/>
      </rPr>
      <t xml:space="preserve">30 </t>
    </r>
    <r>
      <rPr>
        <sz val="11"/>
        <rFont val="Noto Sans CJK SC"/>
        <family val="2"/>
      </rPr>
      <t xml:space="preserve">天内发送限时优惠。</t>
    </r>
  </si>
  <si>
    <r>
      <rPr>
        <b val="true"/>
        <sz val="11"/>
        <rFont val="Arial"/>
        <family val="0"/>
        <charset val="1"/>
      </rPr>
      <t xml:space="preserve">Affluent High-Value</t>
    </r>
    <r>
      <rPr>
        <b val="true"/>
        <sz val="11"/>
        <rFont val="Noto Sans CJK SC"/>
        <family val="2"/>
      </rPr>
      <t xml:space="preserve">：超过 </t>
    </r>
    <r>
      <rPr>
        <b val="true"/>
        <sz val="11"/>
        <rFont val="Arial"/>
        <family val="0"/>
        <charset val="1"/>
      </rPr>
      <t xml:space="preserve">60 </t>
    </r>
    <r>
      <rPr>
        <b val="true"/>
        <sz val="11"/>
        <rFont val="Noto Sans CJK SC"/>
        <family val="2"/>
      </rPr>
      <t xml:space="preserve">天要挽回</t>
    </r>
  </si>
  <si>
    <r>
      <rPr>
        <sz val="11"/>
        <rFont val="Arial"/>
        <family val="0"/>
        <charset val="1"/>
      </rPr>
      <t xml:space="preserve">Recency </t>
    </r>
    <r>
      <rPr>
        <sz val="11"/>
        <rFont val="Noto Sans CJK SC"/>
        <family val="2"/>
      </rPr>
      <t xml:space="preserve">超过 </t>
    </r>
    <r>
      <rPr>
        <sz val="11"/>
        <rFont val="Arial"/>
        <family val="0"/>
        <charset val="1"/>
      </rPr>
      <t xml:space="preserve">60 </t>
    </r>
    <r>
      <rPr>
        <sz val="11"/>
        <rFont val="Noto Sans CJK SC"/>
        <family val="2"/>
      </rPr>
      <t xml:space="preserve">天时触发挽回邮件。</t>
    </r>
  </si>
  <si>
    <r>
      <rPr>
        <b val="true"/>
        <sz val="11"/>
        <rFont val="Arial"/>
        <family val="0"/>
        <charset val="1"/>
      </rPr>
      <t xml:space="preserve">Price-Sensitive New</t>
    </r>
    <r>
      <rPr>
        <b val="true"/>
        <sz val="11"/>
        <rFont val="Noto Sans CJK SC"/>
        <family val="2"/>
      </rPr>
      <t xml:space="preserve">：最难打动</t>
    </r>
  </si>
  <si>
    <t xml:space="preserve">不在这个群上花大钱；用模型挑出少数高概率客户。</t>
  </si>
  <si>
    <r>
      <rPr>
        <b val="true"/>
        <sz val="11"/>
        <rFont val="Arial"/>
        <family val="0"/>
        <charset val="1"/>
      </rPr>
      <t xml:space="preserve">Young Online Browsers</t>
    </r>
    <r>
      <rPr>
        <b val="true"/>
        <sz val="11"/>
        <rFont val="Noto Sans CJK SC"/>
        <family val="2"/>
      </rPr>
      <t xml:space="preserve">：访问多、网购转化低</t>
    </r>
  </si>
  <si>
    <r>
      <rPr>
        <sz val="11"/>
        <rFont val="Arial"/>
        <family val="0"/>
        <charset val="1"/>
      </rPr>
      <t xml:space="preserve">Affluent High-Value </t>
    </r>
    <r>
      <rPr>
        <sz val="11"/>
        <rFont val="Noto Sans CJK SC"/>
        <family val="2"/>
      </rPr>
      <t xml:space="preserve">月均访问</t>
    </r>
  </si>
  <si>
    <t xml:space="preserve">重点是优化线上转化（结账、弃购提醒、个性化推荐），而不是加大推广。</t>
  </si>
  <si>
    <r>
      <rPr>
        <i val="true"/>
        <sz val="9"/>
        <color rgb="FF595959"/>
        <rFont val="Noto Sans CJK SC"/>
        <family val="2"/>
      </rPr>
      <t xml:space="preserve">第 </t>
    </r>
    <r>
      <rPr>
        <i val="true"/>
        <sz val="9"/>
        <color rgb="FF595959"/>
        <rFont val="Arial"/>
        <family val="0"/>
        <charset val="1"/>
      </rPr>
      <t xml:space="preserve">6 </t>
    </r>
    <r>
      <rPr>
        <i val="true"/>
        <sz val="9"/>
        <color rgb="FF595959"/>
        <rFont val="Noto Sans CJK SC"/>
        <family val="2"/>
      </rPr>
      <t xml:space="preserve">行比较的是访问次数而不是响应率。其他行的数值均为该组客户对上一次活动的响应率。</t>
    </r>
  </si>
  <si>
    <r>
      <rPr>
        <b val="true"/>
        <sz val="14"/>
        <rFont val="Noto Sans CJK SC"/>
        <family val="2"/>
      </rPr>
      <t xml:space="preserve">响应模型表现与 </t>
    </r>
    <r>
      <rPr>
        <b val="true"/>
        <sz val="14"/>
        <rFont val="Arial"/>
        <family val="0"/>
        <charset val="1"/>
      </rPr>
      <t xml:space="preserve">A/B </t>
    </r>
    <r>
      <rPr>
        <b val="true"/>
        <sz val="14"/>
        <rFont val="Noto Sans CJK SC"/>
        <family val="2"/>
      </rPr>
      <t xml:space="preserve">测试样本量</t>
    </r>
  </si>
  <si>
    <t xml:space="preserve">模型</t>
  </si>
  <si>
    <r>
      <rPr>
        <b val="true"/>
        <sz val="11"/>
        <color rgb="FFFFFFFF"/>
        <rFont val="Noto Sans CJK SC"/>
        <family val="2"/>
      </rPr>
      <t xml:space="preserve">交叉验证 </t>
    </r>
    <r>
      <rPr>
        <b val="true"/>
        <sz val="11"/>
        <color rgb="FFFFFFFF"/>
        <rFont val="Arial"/>
        <family val="0"/>
        <charset val="1"/>
      </rPr>
      <t xml:space="preserve">ROC-AUC</t>
    </r>
  </si>
  <si>
    <t xml:space="preserve">标准差</t>
  </si>
  <si>
    <r>
      <rPr>
        <b val="true"/>
        <sz val="11"/>
        <color rgb="FFFFFFFF"/>
        <rFont val="Noto Sans CJK SC"/>
        <family val="2"/>
      </rPr>
      <t xml:space="preserve">交叉验证 </t>
    </r>
    <r>
      <rPr>
        <b val="true"/>
        <sz val="11"/>
        <color rgb="FFFFFFFF"/>
        <rFont val="Arial"/>
        <family val="0"/>
        <charset val="1"/>
      </rPr>
      <t xml:space="preserve">PR-AUC</t>
    </r>
  </si>
  <si>
    <t xml:space="preserve">logistic_regression</t>
  </si>
  <si>
    <t xml:space="preserve">random_forest</t>
  </si>
  <si>
    <t xml:space="preserve">xgboost</t>
  </si>
  <si>
    <r>
      <rPr>
        <b val="true"/>
        <sz val="11"/>
        <rFont val="Noto Sans CJK SC"/>
        <family val="2"/>
      </rPr>
      <t xml:space="preserve">最佳模型（按交叉验证 </t>
    </r>
    <r>
      <rPr>
        <b val="true"/>
        <sz val="11"/>
        <rFont val="Arial"/>
        <family val="0"/>
        <charset val="1"/>
      </rPr>
      <t xml:space="preserve">ROC-AUC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</si>
  <si>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测试集 </t>
    </r>
    <r>
      <rPr>
        <sz val="11"/>
        <color theme="1"/>
        <rFont val="Arial"/>
        <family val="0"/>
        <charset val="1"/>
      </rPr>
      <t xml:space="preserve">ROC-AUC</t>
    </r>
  </si>
  <si>
    <r>
      <rPr>
        <sz val="11"/>
        <color theme="1"/>
        <rFont val="Noto Sans CJK SC"/>
        <family val="2"/>
      </rPr>
      <t xml:space="preserve">测试集 </t>
    </r>
    <r>
      <rPr>
        <sz val="11"/>
        <color theme="1"/>
        <rFont val="Arial"/>
        <family val="0"/>
        <charset val="1"/>
      </rPr>
      <t xml:space="preserve">PR-AUC</t>
    </r>
  </si>
  <si>
    <t xml:space="preserve">随机猜测基线（正例比例）</t>
  </si>
  <si>
    <r>
      <rPr>
        <sz val="11"/>
        <color theme="1"/>
        <rFont val="Arial"/>
        <family val="0"/>
        <charset val="1"/>
      </rPr>
      <t xml:space="preserve">PR-AUC </t>
    </r>
    <r>
      <rPr>
        <sz val="11"/>
        <color theme="1"/>
        <rFont val="Noto Sans CJK SC"/>
        <family val="2"/>
      </rPr>
      <t xml:space="preserve">是基线的倍数</t>
    </r>
  </si>
  <si>
    <r>
      <rPr>
        <sz val="11"/>
        <color theme="1"/>
        <rFont val="Noto Sans CJK SC"/>
        <family val="2"/>
      </rPr>
      <t xml:space="preserve">联系前 </t>
    </r>
    <r>
      <rPr>
        <sz val="11"/>
        <color theme="1"/>
        <rFont val="Arial"/>
        <family val="0"/>
        <charset val="1"/>
      </rPr>
      <t xml:space="preserve">20% </t>
    </r>
    <r>
      <rPr>
        <sz val="11"/>
        <color theme="1"/>
        <rFont val="Noto Sans CJK SC"/>
        <family val="2"/>
      </rPr>
      <t xml:space="preserve">客户覆盖的响应者比例</t>
    </r>
  </si>
  <si>
    <r>
      <rPr>
        <i val="true"/>
        <sz val="9"/>
        <color rgb="FF595959"/>
        <rFont val="Noto Sans CJK SC"/>
        <family val="2"/>
      </rPr>
      <t xml:space="preserve">以上为 </t>
    </r>
    <r>
      <rPr>
        <i val="true"/>
        <sz val="9"/>
        <color rgb="FF595959"/>
        <rFont val="Arial"/>
        <family val="0"/>
        <charset val="1"/>
      </rPr>
      <t xml:space="preserve">Claude </t>
    </r>
    <r>
      <rPr>
        <i val="true"/>
        <sz val="9"/>
        <color rgb="FF595959"/>
        <rFont val="Noto Sans CJK SC"/>
        <family val="2"/>
      </rPr>
      <t xml:space="preserve">环境中的训练结果；你 </t>
    </r>
    <r>
      <rPr>
        <i val="true"/>
        <sz val="9"/>
        <color rgb="FF595959"/>
        <rFont val="Arial"/>
        <family val="0"/>
        <charset val="1"/>
      </rPr>
      <t xml:space="preserve">Mac </t>
    </r>
    <r>
      <rPr>
        <i val="true"/>
        <sz val="9"/>
        <color rgb="FF595959"/>
        <rFont val="Noto Sans CJK SC"/>
        <family val="2"/>
      </rPr>
      <t xml:space="preserve">上的结果为测试集 </t>
    </r>
    <r>
      <rPr>
        <i val="true"/>
        <sz val="9"/>
        <color rgb="FF595959"/>
        <rFont val="Arial"/>
        <family val="0"/>
        <charset val="1"/>
      </rPr>
      <t xml:space="preserve">ROC-AUC 0.901</t>
    </r>
    <r>
      <rPr>
        <i val="true"/>
        <sz val="9"/>
        <color rgb="FF595959"/>
        <rFont val="Noto Sans CJK SC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PR-AUC 0.683</t>
    </r>
    <r>
      <rPr>
        <i val="true"/>
        <sz val="9"/>
        <color rgb="FF595959"/>
        <rFont val="Noto Sans CJK SC"/>
        <family val="2"/>
      </rPr>
      <t xml:space="preserve">，写简历时以你自己的为准。</t>
    </r>
  </si>
  <si>
    <r>
      <rPr>
        <b val="true"/>
        <sz val="14"/>
        <rFont val="Arial"/>
        <family val="0"/>
        <charset val="1"/>
      </rPr>
      <t xml:space="preserve">A/B </t>
    </r>
    <r>
      <rPr>
        <b val="true"/>
        <sz val="14"/>
        <rFont val="Noto Sans CJK SC"/>
        <family val="2"/>
      </rPr>
      <t xml:space="preserve">测试样本量（每组）</t>
    </r>
  </si>
  <si>
    <t xml:space="preserve">黄色格子可以修改，下面的样本量会自动重算。</t>
  </si>
  <si>
    <r>
      <rPr>
        <sz val="11"/>
        <rFont val="Noto Sans CJK SC"/>
        <family val="2"/>
      </rPr>
      <t xml:space="preserve">基线响应率 </t>
    </r>
    <r>
      <rPr>
        <sz val="11"/>
        <rFont val="Arial"/>
        <family val="0"/>
        <charset val="1"/>
      </rPr>
      <t xml:space="preserve">p1</t>
    </r>
  </si>
  <si>
    <r>
      <rPr>
        <sz val="11"/>
        <rFont val="Noto Sans CJK SC"/>
        <family val="2"/>
      </rPr>
      <t xml:space="preserve">希望检测到的响应率 </t>
    </r>
    <r>
      <rPr>
        <sz val="11"/>
        <rFont val="Arial"/>
        <family val="0"/>
        <charset val="1"/>
      </rPr>
      <t xml:space="preserve">p2</t>
    </r>
  </si>
  <si>
    <r>
      <rPr>
        <sz val="11"/>
        <rFont val="Noto Sans CJK SC"/>
        <family val="2"/>
      </rPr>
      <t xml:space="preserve">显著性水平 </t>
    </r>
    <r>
      <rPr>
        <sz val="11"/>
        <rFont val="Arial"/>
        <family val="0"/>
        <charset val="1"/>
      </rPr>
      <t xml:space="preserve">α</t>
    </r>
    <r>
      <rPr>
        <sz val="11"/>
        <rFont val="Noto Sans CJK SC"/>
        <family val="2"/>
      </rPr>
      <t xml:space="preserve">（双侧）</t>
    </r>
  </si>
  <si>
    <r>
      <rPr>
        <sz val="11"/>
        <rFont val="Noto Sans CJK SC"/>
        <family val="2"/>
      </rPr>
      <t xml:space="preserve">检验力 </t>
    </r>
    <r>
      <rPr>
        <sz val="11"/>
        <rFont val="Arial"/>
        <family val="0"/>
        <charset val="1"/>
      </rPr>
      <t xml:space="preserve">(power)</t>
    </r>
  </si>
  <si>
    <r>
      <rPr>
        <sz val="11"/>
        <color theme="1"/>
        <rFont val="Noto Sans CJK SC"/>
        <family val="2"/>
      </rPr>
      <t xml:space="preserve">效应量 </t>
    </r>
    <r>
      <rPr>
        <sz val="11"/>
        <color theme="1"/>
        <rFont val="Arial"/>
        <family val="0"/>
        <charset val="1"/>
      </rPr>
      <t xml:space="preserve">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Cohen's h</t>
    </r>
    <r>
      <rPr>
        <sz val="11"/>
        <color theme="1"/>
        <rFont val="Noto Sans CJK SC"/>
        <family val="2"/>
      </rPr>
      <t xml:space="preserve">）</t>
    </r>
  </si>
  <si>
    <t xml:space="preserve">每组所需样本量</t>
  </si>
  <si>
    <r>
      <rPr>
        <i val="true"/>
        <sz val="9"/>
        <color rgb="FF595959"/>
        <rFont val="Noto Sans CJK SC"/>
        <family val="2"/>
      </rPr>
      <t xml:space="preserve">公式：</t>
    </r>
    <r>
      <rPr>
        <i val="true"/>
        <sz val="9"/>
        <color rgb="FF595959"/>
        <rFont val="Arial"/>
        <family val="0"/>
        <charset val="1"/>
      </rPr>
      <t xml:space="preserve">n = ((z₁₋α/₂ + z_power) / h)²</t>
    </r>
    <r>
      <rPr>
        <i val="true"/>
        <sz val="9"/>
        <color rgb="FF595959"/>
        <rFont val="Noto Sans CJK SC"/>
        <family val="2"/>
      </rPr>
      <t xml:space="preserve">，与 </t>
    </r>
    <r>
      <rPr>
        <i val="true"/>
        <sz val="9"/>
        <color rgb="FF595959"/>
        <rFont val="Arial"/>
        <family val="0"/>
        <charset val="1"/>
      </rPr>
      <t xml:space="preserve">statsmodels NormalIndPower </t>
    </r>
    <r>
      <rPr>
        <i val="true"/>
        <sz val="9"/>
        <color rgb="FF595959"/>
        <rFont val="Noto Sans CJK SC"/>
        <family val="2"/>
      </rPr>
      <t xml:space="preserve">的计算方法一致。</t>
    </r>
  </si>
  <si>
    <r>
      <rPr>
        <b val="true"/>
        <sz val="14"/>
        <rFont val="Noto Sans CJK SC"/>
        <family val="2"/>
      </rPr>
      <t xml:space="preserve">策略文档结构（</t>
    </r>
    <r>
      <rPr>
        <b val="true"/>
        <sz val="14"/>
        <rFont val="Arial"/>
        <family val="0"/>
        <charset val="1"/>
      </rPr>
      <t xml:space="preserve">docs/segment_playbook.md</t>
    </r>
    <r>
      <rPr>
        <b val="true"/>
        <sz val="14"/>
        <rFont val="Noto Sans CJK SC"/>
        <family val="2"/>
      </rPr>
      <t xml:space="preserve">）</t>
    </r>
  </si>
  <si>
    <t xml:space="preserve">章节</t>
  </si>
  <si>
    <t xml:space="preserve">标题</t>
  </si>
  <si>
    <t xml:space="preserve">内容</t>
  </si>
  <si>
    <t xml:space="preserve">1</t>
  </si>
  <si>
    <t xml:space="preserve">Overview of the four segments</t>
  </si>
  <si>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个客群的人数、收入贡献、平均收入、年龄、响应率对比表</t>
    </r>
  </si>
  <si>
    <t xml:space="preserve">2</t>
  </si>
  <si>
    <t xml:space="preserve">Segment: Affluent High-Value</t>
  </si>
  <si>
    <t xml:space="preserve">画像、购买行为、历史活动响应、推荐策略、衡量指标</t>
  </si>
  <si>
    <t xml:space="preserve">3</t>
  </si>
  <si>
    <t xml:space="preserve">Segment: Established Families</t>
  </si>
  <si>
    <t xml:space="preserve">4</t>
  </si>
  <si>
    <t xml:space="preserve">Segment: Price-Sensitive New</t>
  </si>
  <si>
    <t xml:space="preserve">5</t>
  </si>
  <si>
    <t xml:space="preserve">Segment: Young Online Browsers</t>
  </si>
  <si>
    <t xml:space="preserve">6</t>
  </si>
  <si>
    <t xml:space="preserve">How to use the response model</t>
  </si>
  <si>
    <t xml:space="preserve">概率的含义、模型表现，以及按概率分档的决策规则</t>
  </si>
  <si>
    <t xml:space="preserve">7</t>
  </si>
  <si>
    <t xml:space="preserve">Cross-segment insights</t>
  </si>
  <si>
    <t xml:space="preserve">适用于所有客群的规律</t>
  </si>
  <si>
    <t xml:space="preserve">8</t>
  </si>
  <si>
    <t xml:space="preserve">Data limitations</t>
  </si>
  <si>
    <t xml:space="preserve">数据集本身的问题与局限</t>
  </si>
  <si>
    <t xml:space="preserve">9</t>
  </si>
  <si>
    <t xml:space="preserve">Glossary</t>
  </si>
  <si>
    <r>
      <rPr>
        <sz val="11"/>
        <rFont val="Arial"/>
        <family val="0"/>
        <charset val="1"/>
      </rPr>
      <t xml:space="preserve">Recency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Tenure</t>
    </r>
    <r>
      <rPr>
        <sz val="11"/>
        <rFont val="Noto Sans CJK SC"/>
        <family val="2"/>
      </rPr>
      <t xml:space="preserve">、客单价等术语定义</t>
    </r>
  </si>
  <si>
    <r>
      <rPr>
        <i val="true"/>
        <sz val="9"/>
        <color rgb="FF595959"/>
        <rFont val="Noto Sans CJK SC"/>
        <family val="2"/>
      </rPr>
      <t xml:space="preserve">每个客群小节都可以单独读懂，因为 </t>
    </r>
    <r>
      <rPr>
        <i val="true"/>
        <sz val="9"/>
        <color rgb="FF595959"/>
        <rFont val="Arial"/>
        <family val="0"/>
        <charset val="1"/>
      </rPr>
      <t xml:space="preserve">RAG </t>
    </r>
    <r>
      <rPr>
        <i val="true"/>
        <sz val="9"/>
        <color rgb="FF595959"/>
        <rFont val="Noto Sans CJK SC"/>
        <family val="2"/>
      </rPr>
      <t xml:space="preserve">检索时一次只会取出其中几段。</t>
    </r>
  </si>
  <si>
    <t xml:space="preserve">待你确认的事项</t>
  </si>
  <si>
    <r>
      <rPr>
        <i val="true"/>
        <sz val="9"/>
        <color rgb="FF595959"/>
        <rFont val="Noto Sans CJK SC"/>
        <family val="2"/>
      </rPr>
      <t xml:space="preserve">填写说明：在黄色的「状态」列填 待处理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已确认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已修改，「备注」列写你的决定。第 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行是示例。</t>
    </r>
  </si>
  <si>
    <t xml:space="preserve">事项</t>
  </si>
  <si>
    <t xml:space="preserve">状态</t>
  </si>
  <si>
    <t xml:space="preserve">备注</t>
  </si>
  <si>
    <t xml:space="preserve">文档语言</t>
  </si>
  <si>
    <r>
      <rPr>
        <sz val="11"/>
        <rFont val="Noto Sans CJK SC"/>
        <family val="2"/>
      </rPr>
      <t xml:space="preserve">目前是英文，方便放 </t>
    </r>
    <r>
      <rPr>
        <sz val="11"/>
        <rFont val="Arial"/>
        <family val="0"/>
        <charset val="1"/>
      </rPr>
      <t xml:space="preserve">GitHub </t>
    </r>
    <r>
      <rPr>
        <sz val="11"/>
        <rFont val="Noto Sans CJK SC"/>
        <family val="2"/>
      </rPr>
      <t xml:space="preserve">和简历；</t>
    </r>
    <r>
      <rPr>
        <sz val="11"/>
        <rFont val="Arial"/>
        <family val="0"/>
        <charset val="1"/>
      </rPr>
      <t xml:space="preserve">Claude </t>
    </r>
    <r>
      <rPr>
        <sz val="11"/>
        <rFont val="Noto Sans CJK SC"/>
        <family val="2"/>
      </rPr>
      <t xml:space="preserve">读英文文档也能用中文回答。需要中文版就改。</t>
    </r>
  </si>
  <si>
    <t xml:space="preserve">已确认</t>
  </si>
  <si>
    <t xml:space="preserve">示例：保持英文</t>
  </si>
  <si>
    <t xml:space="preserve">推荐策略</t>
  </si>
  <si>
    <r>
      <rPr>
        <sz val="11"/>
        <rFont val="Noto Sans CJK SC"/>
        <family val="2"/>
      </rPr>
      <t xml:space="preserve">各客群的 </t>
    </r>
    <r>
      <rPr>
        <sz val="11"/>
        <rFont val="Arial"/>
        <family val="0"/>
        <charset val="1"/>
      </rPr>
      <t xml:space="preserve">Recommended strategy </t>
    </r>
    <r>
      <rPr>
        <sz val="11"/>
        <rFont val="Noto Sans CJK SC"/>
        <family val="2"/>
      </rPr>
      <t xml:space="preserve">是根据数据提出的建议，尚未经过实际活动检验。可加入你 </t>
    </r>
    <r>
      <rPr>
        <sz val="11"/>
        <rFont val="Arial"/>
        <family val="0"/>
        <charset val="1"/>
      </rPr>
      <t xml:space="preserve">notebook </t>
    </r>
    <r>
      <rPr>
        <sz val="11"/>
        <rFont val="Noto Sans CJK SC"/>
        <family val="2"/>
      </rPr>
      <t xml:space="preserve">的结论。</t>
    </r>
  </si>
  <si>
    <r>
      <rPr>
        <b val="true"/>
        <sz val="11"/>
        <rFont val="Arial"/>
        <family val="0"/>
        <charset val="1"/>
      </rPr>
      <t xml:space="preserve">A/B </t>
    </r>
    <r>
      <rPr>
        <b val="true"/>
        <sz val="11"/>
        <rFont val="Noto Sans CJK SC"/>
        <family val="2"/>
      </rPr>
      <t xml:space="preserve">测试样本量</t>
    </r>
  </si>
  <si>
    <r>
      <rPr>
        <sz val="11"/>
        <rFont val="Noto Sans CJK SC"/>
        <family val="2"/>
      </rPr>
      <t xml:space="preserve">文档写的是每组约 </t>
    </r>
    <r>
      <rPr>
        <sz val="11"/>
        <rFont val="Arial"/>
        <family val="0"/>
        <charset val="1"/>
      </rPr>
      <t xml:space="preserve">600 </t>
    </r>
    <r>
      <rPr>
        <sz val="11"/>
        <rFont val="Noto Sans CJK SC"/>
        <family val="2"/>
      </rPr>
      <t xml:space="preserve">人（</t>
    </r>
    <r>
      <rPr>
        <sz val="11"/>
        <rFont val="Arial"/>
        <family val="0"/>
        <charset val="1"/>
      </rPr>
      <t xml:space="preserve">15.6% → 20%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80% </t>
    </r>
    <r>
      <rPr>
        <sz val="11"/>
        <rFont val="Noto Sans CJK SC"/>
        <family val="2"/>
      </rPr>
      <t xml:space="preserve">检验力，</t>
    </r>
    <r>
      <rPr>
        <sz val="11"/>
        <rFont val="Arial"/>
        <family val="0"/>
        <charset val="1"/>
      </rPr>
      <t xml:space="preserve">5% </t>
    </r>
    <r>
      <rPr>
        <sz val="11"/>
        <rFont val="Noto Sans CJK SC"/>
        <family val="2"/>
      </rPr>
      <t xml:space="preserve">显著性）。可对照 </t>
    </r>
    <r>
      <rPr>
        <sz val="11"/>
        <rFont val="Arial"/>
        <family val="0"/>
        <charset val="1"/>
      </rPr>
      <t xml:space="preserve">notebook </t>
    </r>
    <r>
      <rPr>
        <sz val="11"/>
        <rFont val="Noto Sans CJK SC"/>
        <family val="2"/>
      </rPr>
      <t xml:space="preserve">第 </t>
    </r>
    <r>
      <rPr>
        <sz val="11"/>
        <rFont val="Arial"/>
        <family val="0"/>
        <charset val="1"/>
      </rPr>
      <t xml:space="preserve">[11] </t>
    </r>
    <r>
      <rPr>
        <sz val="11"/>
        <rFont val="Noto Sans CJK SC"/>
        <family val="2"/>
      </rPr>
      <t xml:space="preserve">单元的结果。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</si>
</sst>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\$#,##0"/>
    <numFmt numFmtId="168" formatCode="0.0"/>
    <numFmt numFmtId="169" formatCode="0.00"/>
    <numFmt numFmtId="170" formatCode="0%"/>
    <numFmt numFmtId="171" formatCode="\$#,##0.0"/>
    <numFmt numFmtId="172" formatCode="0.0\x"/>
    <numFmt numFmtId="173" formatCode="0.000"/>
    <numFmt numFmtId="174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10" min="8" style="0" width="9"/>
    <col collapsed="false" customWidth="true" hidden="false" outlineLevel="0" max="14" min="11" style="0" width="10"/>
    <col collapsed="false" customWidth="true" hidden="false" outlineLevel="0" max="17" min="15" style="0" width="9"/>
    <col collapsed="false" customWidth="true" hidden="false" outlineLevel="0" max="18" min="18" style="0" width="11"/>
    <col collapsed="false" customWidth="true" hidden="false" outlineLevel="0" max="20" min="19" style="0" width="10"/>
    <col collapsed="false" customWidth="true" hidden="false" outlineLevel="0" max="21" min="21" style="0" width="9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2"/>
  </cols>
  <sheetData>
    <row r="1" customFormat="false" ht="21.6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4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4" t="s">
        <v>13</v>
      </c>
      <c r="M4" s="4" t="s">
        <v>14</v>
      </c>
      <c r="N4" s="4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</row>
    <row r="5" customFormat="false" ht="15" hidden="false" customHeight="false" outlineLevel="0" collapsed="false">
      <c r="A5" s="6" t="s">
        <v>26</v>
      </c>
      <c r="B5" s="7" t="n">
        <v>539</v>
      </c>
      <c r="C5" s="8" t="n">
        <f aca="false">B5/$B$9</f>
        <v>0.244444444444444</v>
      </c>
      <c r="D5" s="9" t="n">
        <v>1307</v>
      </c>
      <c r="E5" s="10" t="n">
        <f aca="false">B5*D5</f>
        <v>704473</v>
      </c>
      <c r="F5" s="8" t="n">
        <f aca="false">E5/$E$9</f>
        <v>0.52442484134517</v>
      </c>
      <c r="G5" s="9" t="n">
        <v>76767</v>
      </c>
      <c r="H5" s="11" t="n">
        <v>45.1</v>
      </c>
      <c r="I5" s="12" t="n">
        <v>0.21</v>
      </c>
      <c r="J5" s="13" t="n">
        <v>0.2</v>
      </c>
      <c r="K5" s="14" t="n">
        <v>70.2</v>
      </c>
      <c r="L5" s="11" t="n">
        <v>19.2</v>
      </c>
      <c r="M5" s="11" t="n">
        <v>46.8</v>
      </c>
      <c r="N5" s="7" t="n">
        <v>292</v>
      </c>
      <c r="O5" s="15" t="n">
        <v>0.443</v>
      </c>
      <c r="P5" s="15" t="n">
        <v>0.258</v>
      </c>
      <c r="Q5" s="15" t="n">
        <v>0.3</v>
      </c>
      <c r="R5" s="15" t="n">
        <v>0.066</v>
      </c>
      <c r="S5" s="11" t="n">
        <v>2.4</v>
      </c>
      <c r="T5" s="15" t="n">
        <v>0.444</v>
      </c>
      <c r="U5" s="15" t="n">
        <v>0.335</v>
      </c>
      <c r="V5" s="15" t="n">
        <v>0.056</v>
      </c>
      <c r="W5" s="15" t="n">
        <v>0.241</v>
      </c>
      <c r="X5" s="15" t="n">
        <v>0.406</v>
      </c>
    </row>
    <row r="6" customFormat="false" ht="15" hidden="false" customHeight="false" outlineLevel="0" collapsed="false">
      <c r="A6" s="6" t="s">
        <v>27</v>
      </c>
      <c r="B6" s="7" t="n">
        <v>495</v>
      </c>
      <c r="C6" s="8" t="n">
        <f aca="false">B6/$B$9</f>
        <v>0.224489795918367</v>
      </c>
      <c r="D6" s="9" t="n">
        <v>949</v>
      </c>
      <c r="E6" s="10" t="n">
        <f aca="false">B6*D6</f>
        <v>469755</v>
      </c>
      <c r="F6" s="8" t="n">
        <f aca="false">E6/$E$9</f>
        <v>0.34969571771537</v>
      </c>
      <c r="G6" s="9" t="n">
        <v>60896</v>
      </c>
      <c r="H6" s="11" t="n">
        <v>50.5</v>
      </c>
      <c r="I6" s="12" t="n">
        <v>0.99</v>
      </c>
      <c r="J6" s="13" t="n">
        <v>0.84</v>
      </c>
      <c r="K6" s="14" t="n">
        <v>51</v>
      </c>
      <c r="L6" s="11" t="n">
        <v>18.7</v>
      </c>
      <c r="M6" s="11" t="n">
        <v>52.9</v>
      </c>
      <c r="N6" s="7" t="n">
        <v>504</v>
      </c>
      <c r="O6" s="15" t="n">
        <v>0.435</v>
      </c>
      <c r="P6" s="15" t="n">
        <v>0.353</v>
      </c>
      <c r="Q6" s="15" t="n">
        <v>0.212</v>
      </c>
      <c r="R6" s="15" t="n">
        <v>0.193</v>
      </c>
      <c r="S6" s="11" t="n">
        <v>5.9</v>
      </c>
      <c r="T6" s="15" t="n">
        <v>0.593</v>
      </c>
      <c r="U6" s="15" t="n">
        <v>0.205</v>
      </c>
      <c r="V6" s="15" t="n">
        <v>0.073</v>
      </c>
      <c r="W6" s="15" t="n">
        <v>0.174</v>
      </c>
      <c r="X6" s="15" t="n">
        <v>0.242</v>
      </c>
    </row>
    <row r="7" customFormat="false" ht="15" hidden="false" customHeight="false" outlineLevel="0" collapsed="false">
      <c r="A7" s="6" t="s">
        <v>28</v>
      </c>
      <c r="B7" s="7" t="n">
        <v>581</v>
      </c>
      <c r="C7" s="8" t="n">
        <f aca="false">B7/$B$9</f>
        <v>0.263492063492064</v>
      </c>
      <c r="D7" s="9" t="n">
        <v>157</v>
      </c>
      <c r="E7" s="10" t="n">
        <f aca="false">B7*D7</f>
        <v>91217</v>
      </c>
      <c r="F7" s="8" t="n">
        <f aca="false">E7/$E$9</f>
        <v>0.067903895185454</v>
      </c>
      <c r="G7" s="9" t="n">
        <v>42863</v>
      </c>
      <c r="H7" s="11" t="n">
        <v>48.8</v>
      </c>
      <c r="I7" s="12" t="n">
        <v>1.5</v>
      </c>
      <c r="J7" s="13" t="n">
        <v>0.95</v>
      </c>
      <c r="K7" s="14" t="n">
        <v>16.9</v>
      </c>
      <c r="L7" s="11" t="n">
        <v>7.4</v>
      </c>
      <c r="M7" s="11" t="n">
        <v>50.9</v>
      </c>
      <c r="N7" s="7" t="n">
        <v>195</v>
      </c>
      <c r="O7" s="15" t="n">
        <v>0.524</v>
      </c>
      <c r="P7" s="15" t="n">
        <v>0.364</v>
      </c>
      <c r="Q7" s="15" t="n">
        <v>0.112</v>
      </c>
      <c r="R7" s="15" t="n">
        <v>0.33</v>
      </c>
      <c r="S7" s="11" t="n">
        <v>5.5</v>
      </c>
      <c r="T7" s="15" t="n">
        <v>0.576</v>
      </c>
      <c r="U7" s="15" t="n">
        <v>0.193</v>
      </c>
      <c r="V7" s="15" t="n">
        <v>0.112</v>
      </c>
      <c r="W7" s="15" t="n">
        <v>0.043</v>
      </c>
      <c r="X7" s="15" t="n">
        <v>0.108</v>
      </c>
    </row>
    <row r="8" customFormat="false" ht="15" hidden="false" customHeight="false" outlineLevel="0" collapsed="false">
      <c r="A8" s="6" t="s">
        <v>29</v>
      </c>
      <c r="B8" s="7" t="n">
        <v>590</v>
      </c>
      <c r="C8" s="8" t="n">
        <f aca="false">B8/$B$9</f>
        <v>0.267573696145125</v>
      </c>
      <c r="D8" s="9" t="n">
        <v>132</v>
      </c>
      <c r="E8" s="10" t="n">
        <f aca="false">B8*D8</f>
        <v>77880</v>
      </c>
      <c r="F8" s="8" t="n">
        <f aca="false">E8/$E$9</f>
        <v>0.0579755457540059</v>
      </c>
      <c r="G8" s="9" t="n">
        <v>30806</v>
      </c>
      <c r="H8" s="11" t="n">
        <v>36.9</v>
      </c>
      <c r="I8" s="12" t="n">
        <v>1.05</v>
      </c>
      <c r="J8" s="13" t="n">
        <v>0.85</v>
      </c>
      <c r="K8" s="14" t="n">
        <v>16.6</v>
      </c>
      <c r="L8" s="11" t="n">
        <v>6.5</v>
      </c>
      <c r="M8" s="11" t="n">
        <v>45.8</v>
      </c>
      <c r="N8" s="7" t="n">
        <v>442</v>
      </c>
      <c r="O8" s="15" t="n">
        <v>0.509</v>
      </c>
      <c r="P8" s="15" t="n">
        <v>0.397</v>
      </c>
      <c r="Q8" s="15" t="n">
        <v>0.093</v>
      </c>
      <c r="R8" s="15" t="n">
        <v>0.353</v>
      </c>
      <c r="S8" s="11" t="n">
        <v>7.3</v>
      </c>
      <c r="T8" s="15" t="n">
        <v>0.401</v>
      </c>
      <c r="U8" s="15" t="n">
        <v>0.245</v>
      </c>
      <c r="V8" s="15" t="n">
        <v>0.168</v>
      </c>
      <c r="W8" s="15" t="n">
        <v>0.156</v>
      </c>
      <c r="X8" s="15" t="n">
        <v>0.095</v>
      </c>
    </row>
    <row r="9" customFormat="false" ht="17.15" hidden="false" customHeight="false" outlineLevel="0" collapsed="false">
      <c r="A9" s="16" t="s">
        <v>30</v>
      </c>
      <c r="B9" s="17" t="n">
        <f aca="false">SUM(B5:B8)</f>
        <v>2205</v>
      </c>
      <c r="C9" s="18" t="n">
        <f aca="false">SUM(C5:C8)</f>
        <v>1</v>
      </c>
      <c r="D9" s="19" t="n">
        <f aca="false">E9/B9</f>
        <v>609.21768707483</v>
      </c>
      <c r="E9" s="19" t="n">
        <f aca="false">SUM(E5:E8)</f>
        <v>1343325</v>
      </c>
      <c r="F9" s="18" t="n">
        <f aca="false">SUM(F5:F8)</f>
        <v>1</v>
      </c>
      <c r="G9" s="19" t="n">
        <f aca="false">SUMPRODUCT(G5:G8,$B$5:$B$8)/$B$9</f>
        <v>51972.7328798186</v>
      </c>
      <c r="H9" s="20" t="n">
        <f aca="false">SUMPRODUCT(H5:H8,$B$5:$B$8)/$B$9</f>
        <v>45.0930612244898</v>
      </c>
      <c r="I9" s="21" t="n">
        <f aca="false">SUMPRODUCT(I5:I8,$B$5:$B$8)/$B$9</f>
        <v>0.949768707482993</v>
      </c>
      <c r="J9" s="22" t="n">
        <f aca="false">SUMPRODUCT(J5:J8,$B$5:$B$8)/$B$9</f>
        <v>0.715215419501134</v>
      </c>
      <c r="K9" s="23" t="n">
        <f aca="false">SUMPRODUCT(K5:K8,$B$5:$B$8)/$B$9</f>
        <v>37.5037188208617</v>
      </c>
      <c r="L9" s="20" t="n">
        <f aca="false">SUMPRODUCT(L5:L8,$B$5:$B$8)/$B$9</f>
        <v>12.5803628117914</v>
      </c>
      <c r="M9" s="20" t="n">
        <f aca="false">SUMPRODUCT(M5:M8,$B$5:$B$8)/$B$9</f>
        <v>48.9821315192744</v>
      </c>
      <c r="N9" s="17" t="n">
        <f aca="false">SUMPRODUCT(N5:N8,$B$5:$B$8)/$B$9</f>
        <v>354.169160997732</v>
      </c>
      <c r="O9" s="18"/>
      <c r="P9" s="18"/>
      <c r="Q9" s="18"/>
      <c r="R9" s="18"/>
      <c r="S9" s="20" t="n">
        <f aca="false">SUMPRODUCT(S5:S8,$B$5:$B$8)/$B$9</f>
        <v>5.31365079365079</v>
      </c>
      <c r="T9" s="18"/>
      <c r="U9" s="18"/>
      <c r="V9" s="18"/>
      <c r="W9" s="18" t="n">
        <f aca="false">SUMPRODUCT(W5:W8,$B$5:$B$8)/$B$9</f>
        <v>0.151043990929705</v>
      </c>
      <c r="X9" s="18" t="n">
        <f aca="false">SUMPRODUCT(X5:X8,$B$5:$B$8)/$B$9</f>
        <v>0.207447619047619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24" t="s">
        <v>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s">
        <v>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s">
        <v>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s">
        <v>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s">
        <v>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36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7.15" hidden="false" customHeight="false" outlineLevel="0" collapsed="false">
      <c r="A4" s="4" t="s">
        <v>38</v>
      </c>
      <c r="B4" s="5" t="s">
        <v>39</v>
      </c>
      <c r="C4" s="5" t="s">
        <v>40</v>
      </c>
      <c r="D4" s="4" t="s">
        <v>41</v>
      </c>
      <c r="E4" s="5" t="s">
        <v>42</v>
      </c>
      <c r="F4" s="4" t="s">
        <v>43</v>
      </c>
      <c r="G4" s="4" t="s">
        <v>44</v>
      </c>
      <c r="H4" s="5" t="s">
        <v>45</v>
      </c>
    </row>
    <row r="5" customFormat="false" ht="32.8" hidden="false" customHeight="false" outlineLevel="0" collapsed="false">
      <c r="A5" s="25" t="n">
        <v>1</v>
      </c>
      <c r="B5" s="26" t="s">
        <v>46</v>
      </c>
      <c r="C5" s="27" t="s">
        <v>47</v>
      </c>
      <c r="D5" s="28" t="n">
        <v>0.408</v>
      </c>
      <c r="E5" s="27" t="s">
        <v>48</v>
      </c>
      <c r="F5" s="28" t="n">
        <v>0.084</v>
      </c>
      <c r="G5" s="29" t="n">
        <f aca="false">IFERROR(D5/F5,"-")</f>
        <v>4.85714285714286</v>
      </c>
      <c r="H5" s="27" t="s">
        <v>49</v>
      </c>
    </row>
    <row r="6" customFormat="false" ht="17.15" hidden="false" customHeight="false" outlineLevel="0" collapsed="false">
      <c r="A6" s="25" t="n">
        <v>2</v>
      </c>
      <c r="B6" s="26" t="s">
        <v>50</v>
      </c>
      <c r="C6" s="25" t="s">
        <v>51</v>
      </c>
      <c r="D6" s="28" t="n">
        <v>0.288</v>
      </c>
      <c r="E6" s="25" t="s">
        <v>52</v>
      </c>
      <c r="F6" s="28" t="n">
        <v>0.065</v>
      </c>
      <c r="G6" s="29" t="n">
        <f aca="false">IFERROR(D6/F6,"-")</f>
        <v>4.43076923076923</v>
      </c>
      <c r="H6" s="25" t="s">
        <v>53</v>
      </c>
    </row>
    <row r="7" customFormat="false" ht="32.8" hidden="false" customHeight="false" outlineLevel="0" collapsed="false">
      <c r="A7" s="25" t="n">
        <v>3</v>
      </c>
      <c r="B7" s="30" t="s">
        <v>54</v>
      </c>
      <c r="C7" s="25" t="s">
        <v>55</v>
      </c>
      <c r="D7" s="28" t="n">
        <v>0.289</v>
      </c>
      <c r="E7" s="25" t="s">
        <v>56</v>
      </c>
      <c r="F7" s="28" t="n">
        <v>0.07</v>
      </c>
      <c r="G7" s="29" t="n">
        <f aca="false">IFERROR(D7/F7,"-")</f>
        <v>4.12857142857143</v>
      </c>
      <c r="H7" s="27" t="s">
        <v>57</v>
      </c>
    </row>
    <row r="8" customFormat="false" ht="32.8" hidden="false" customHeight="false" outlineLevel="0" collapsed="false">
      <c r="A8" s="25" t="n">
        <v>4</v>
      </c>
      <c r="B8" s="30" t="s">
        <v>58</v>
      </c>
      <c r="C8" s="25" t="s">
        <v>55</v>
      </c>
      <c r="D8" s="28" t="n">
        <v>0.342</v>
      </c>
      <c r="E8" s="25" t="s">
        <v>56</v>
      </c>
      <c r="F8" s="28" t="n">
        <v>0.156</v>
      </c>
      <c r="G8" s="29" t="n">
        <f aca="false">IFERROR(D8/F8,"-")</f>
        <v>2.19230769230769</v>
      </c>
      <c r="H8" s="25" t="s">
        <v>59</v>
      </c>
    </row>
    <row r="9" customFormat="false" ht="17.15" hidden="false" customHeight="false" outlineLevel="0" collapsed="false">
      <c r="A9" s="25" t="n">
        <v>5</v>
      </c>
      <c r="B9" s="30" t="s">
        <v>60</v>
      </c>
      <c r="C9" s="25" t="s">
        <v>55</v>
      </c>
      <c r="D9" s="28" t="n">
        <v>0.099</v>
      </c>
      <c r="E9" s="25" t="s">
        <v>56</v>
      </c>
      <c r="F9" s="28" t="n">
        <v>0.004</v>
      </c>
      <c r="G9" s="29" t="n">
        <f aca="false">IFERROR(D9/F9,"-")</f>
        <v>24.75</v>
      </c>
      <c r="H9" s="27" t="s">
        <v>61</v>
      </c>
    </row>
    <row r="10" customFormat="false" ht="32.8" hidden="false" customHeight="false" outlineLevel="0" collapsed="false">
      <c r="A10" s="25" t="n">
        <v>6</v>
      </c>
      <c r="B10" s="30" t="s">
        <v>62</v>
      </c>
      <c r="C10" s="27" t="s">
        <v>20</v>
      </c>
      <c r="D10" s="31" t="n">
        <v>7.3</v>
      </c>
      <c r="E10" s="25" t="s">
        <v>63</v>
      </c>
      <c r="F10" s="31" t="n">
        <v>2.4</v>
      </c>
      <c r="G10" s="29" t="n">
        <f aca="false">IFERROR(D10/F10,"-")</f>
        <v>3.04166666666667</v>
      </c>
      <c r="H10" s="27" t="s">
        <v>64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3" t="s">
        <v>65</v>
      </c>
      <c r="B12" s="2"/>
      <c r="C12" s="2"/>
      <c r="D12" s="2"/>
      <c r="E12" s="2"/>
      <c r="F12" s="2"/>
      <c r="G12" s="2"/>
      <c r="H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21.6" hidden="false" customHeight="false" outlineLevel="0" collapsed="false">
      <c r="A1" s="1" t="s">
        <v>66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29.85" hidden="false" customHeight="false" outlineLevel="0" collapsed="false">
      <c r="A3" s="5" t="s">
        <v>67</v>
      </c>
      <c r="B3" s="5" t="s">
        <v>68</v>
      </c>
      <c r="C3" s="5" t="s">
        <v>69</v>
      </c>
      <c r="D3" s="5" t="s">
        <v>70</v>
      </c>
    </row>
    <row r="4" customFormat="false" ht="15" hidden="false" customHeight="false" outlineLevel="0" collapsed="false">
      <c r="A4" s="6" t="s">
        <v>71</v>
      </c>
      <c r="B4" s="32" t="n">
        <v>0.8905</v>
      </c>
      <c r="C4" s="32" t="n">
        <v>0.0271</v>
      </c>
      <c r="D4" s="32" t="n">
        <v>0.6428</v>
      </c>
    </row>
    <row r="5" customFormat="false" ht="15" hidden="false" customHeight="false" outlineLevel="0" collapsed="false">
      <c r="A5" s="6" t="s">
        <v>72</v>
      </c>
      <c r="B5" s="32" t="n">
        <v>0.8988</v>
      </c>
      <c r="C5" s="32" t="n">
        <v>0.0125</v>
      </c>
      <c r="D5" s="32" t="n">
        <v>0.6311</v>
      </c>
    </row>
    <row r="6" customFormat="false" ht="15" hidden="false" customHeight="false" outlineLevel="0" collapsed="false">
      <c r="A6" s="6" t="s">
        <v>73</v>
      </c>
      <c r="B6" s="32" t="n">
        <v>0.9057</v>
      </c>
      <c r="C6" s="32" t="n">
        <v>0.0179</v>
      </c>
      <c r="D6" s="32" t="n">
        <v>0.6727</v>
      </c>
    </row>
    <row r="7" customFormat="false" ht="15" hidden="false" customHeight="false" outlineLevel="0" collapsed="false">
      <c r="A7" s="2"/>
      <c r="B7" s="2"/>
      <c r="C7" s="2"/>
      <c r="D7" s="2"/>
    </row>
    <row r="8" customFormat="false" ht="17.15" hidden="false" customHeight="false" outlineLevel="0" collapsed="false">
      <c r="A8" s="24" t="s">
        <v>74</v>
      </c>
      <c r="B8" s="2" t="str">
        <f aca="false">INDEX(A4:A6,MATCH(MAX(B4:B6),B4:B6,0))</f>
        <v>xgboost</v>
      </c>
      <c r="C8" s="2"/>
      <c r="D8" s="2"/>
    </row>
    <row r="9" customFormat="false" ht="17.15" hidden="false" customHeight="false" outlineLevel="0" collapsed="false">
      <c r="A9" s="33" t="s">
        <v>75</v>
      </c>
      <c r="B9" s="32" t="n">
        <v>0.9041</v>
      </c>
      <c r="C9" s="2"/>
      <c r="D9" s="2"/>
    </row>
    <row r="10" customFormat="false" ht="17.15" hidden="false" customHeight="false" outlineLevel="0" collapsed="false">
      <c r="A10" s="33" t="s">
        <v>76</v>
      </c>
      <c r="B10" s="32" t="n">
        <v>0.6813</v>
      </c>
      <c r="C10" s="2"/>
      <c r="D10" s="2"/>
    </row>
    <row r="11" customFormat="false" ht="15" hidden="false" customHeight="false" outlineLevel="0" collapsed="false">
      <c r="A11" s="33" t="s">
        <v>77</v>
      </c>
      <c r="B11" s="32" t="n">
        <v>0.1519</v>
      </c>
      <c r="C11" s="2"/>
      <c r="D11" s="2"/>
    </row>
    <row r="12" customFormat="false" ht="17.15" hidden="false" customHeight="false" outlineLevel="0" collapsed="false">
      <c r="A12" s="2" t="s">
        <v>78</v>
      </c>
      <c r="B12" s="34" t="n">
        <f aca="false">B10/B11</f>
        <v>4.48518762343647</v>
      </c>
      <c r="C12" s="2"/>
      <c r="D12" s="2"/>
    </row>
    <row r="13" customFormat="false" ht="17.15" hidden="false" customHeight="false" outlineLevel="0" collapsed="false">
      <c r="A13" s="33" t="s">
        <v>79</v>
      </c>
      <c r="B13" s="15" t="n">
        <v>0.7015</v>
      </c>
      <c r="C13" s="2"/>
      <c r="D13" s="2"/>
    </row>
    <row r="14" customFormat="false" ht="15" hidden="false" customHeight="false" outlineLevel="0" collapsed="false">
      <c r="A14" s="3" t="s">
        <v>80</v>
      </c>
      <c r="B14" s="2"/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21.6" hidden="false" customHeight="false" outlineLevel="0" collapsed="false">
      <c r="A16" s="35" t="s">
        <v>81</v>
      </c>
      <c r="B16" s="2"/>
      <c r="C16" s="2"/>
      <c r="D16" s="2"/>
    </row>
    <row r="17" customFormat="false" ht="15" hidden="false" customHeight="false" outlineLevel="0" collapsed="false">
      <c r="A17" s="3" t="s">
        <v>82</v>
      </c>
      <c r="B17" s="2"/>
      <c r="C17" s="2"/>
      <c r="D17" s="2"/>
    </row>
    <row r="18" customFormat="false" ht="17.15" hidden="false" customHeight="false" outlineLevel="0" collapsed="false">
      <c r="A18" s="36" t="s">
        <v>83</v>
      </c>
      <c r="B18" s="37" t="n">
        <v>0.156</v>
      </c>
      <c r="C18" s="2"/>
      <c r="D18" s="2"/>
    </row>
    <row r="19" customFormat="false" ht="17.15" hidden="false" customHeight="false" outlineLevel="0" collapsed="false">
      <c r="A19" s="36" t="s">
        <v>84</v>
      </c>
      <c r="B19" s="37" t="n">
        <v>0.2</v>
      </c>
      <c r="C19" s="2"/>
      <c r="D19" s="2"/>
    </row>
    <row r="20" customFormat="false" ht="17.15" hidden="false" customHeight="false" outlineLevel="0" collapsed="false">
      <c r="A20" s="36" t="s">
        <v>85</v>
      </c>
      <c r="B20" s="38" t="n">
        <v>0.05</v>
      </c>
      <c r="C20" s="2"/>
      <c r="D20" s="2"/>
    </row>
    <row r="21" customFormat="false" ht="17.15" hidden="false" customHeight="false" outlineLevel="0" collapsed="false">
      <c r="A21" s="36" t="s">
        <v>86</v>
      </c>
      <c r="B21" s="39" t="n">
        <v>0.8</v>
      </c>
      <c r="C21" s="2"/>
      <c r="D21" s="2"/>
    </row>
    <row r="22" customFormat="false" ht="17.15" hidden="false" customHeight="false" outlineLevel="0" collapsed="false">
      <c r="A22" s="33" t="s">
        <v>87</v>
      </c>
      <c r="B22" s="40" t="n">
        <f aca="false">2*ASIN(SQRT(B19))-2*ASIN(SQRT(B18))</f>
        <v>0.115228411616394</v>
      </c>
      <c r="C22" s="2"/>
      <c r="D22" s="2"/>
    </row>
    <row r="23" customFormat="false" ht="15" hidden="false" customHeight="false" outlineLevel="0" collapsed="false">
      <c r="A23" s="24" t="s">
        <v>88</v>
      </c>
      <c r="B23" s="41" t="n">
        <f aca="false">ROUNDUP(((NORMSINV(1-B20/2)+NORMSINV(B21))/B22)^2,0)</f>
        <v>592</v>
      </c>
      <c r="C23" s="2"/>
      <c r="D23" s="2"/>
    </row>
    <row r="24" customFormat="false" ht="15" hidden="false" customHeight="false" outlineLevel="0" collapsed="false">
      <c r="A24" s="3" t="s">
        <v>89</v>
      </c>
      <c r="B24" s="2"/>
      <c r="C24" s="2"/>
      <c r="D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1.6" hidden="false" customHeight="false" outlineLevel="0" collapsed="false">
      <c r="A1" s="1" t="s">
        <v>90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7.15" hidden="false" customHeight="false" outlineLevel="0" collapsed="false">
      <c r="A3" s="5" t="s">
        <v>91</v>
      </c>
      <c r="B3" s="5" t="s">
        <v>92</v>
      </c>
      <c r="C3" s="5" t="s">
        <v>93</v>
      </c>
    </row>
    <row r="4" customFormat="false" ht="17.15" hidden="false" customHeight="false" outlineLevel="0" collapsed="false">
      <c r="A4" s="25" t="s">
        <v>94</v>
      </c>
      <c r="B4" s="30" t="s">
        <v>95</v>
      </c>
      <c r="C4" s="25" t="s">
        <v>96</v>
      </c>
    </row>
    <row r="5" customFormat="false" ht="17.15" hidden="false" customHeight="false" outlineLevel="0" collapsed="false">
      <c r="A5" s="25" t="s">
        <v>97</v>
      </c>
      <c r="B5" s="30" t="s">
        <v>98</v>
      </c>
      <c r="C5" s="27" t="s">
        <v>99</v>
      </c>
    </row>
    <row r="6" customFormat="false" ht="17.15" hidden="false" customHeight="false" outlineLevel="0" collapsed="false">
      <c r="A6" s="25" t="s">
        <v>100</v>
      </c>
      <c r="B6" s="30" t="s">
        <v>101</v>
      </c>
      <c r="C6" s="27" t="s">
        <v>99</v>
      </c>
    </row>
    <row r="7" customFormat="false" ht="17.15" hidden="false" customHeight="false" outlineLevel="0" collapsed="false">
      <c r="A7" s="25" t="s">
        <v>102</v>
      </c>
      <c r="B7" s="30" t="s">
        <v>103</v>
      </c>
      <c r="C7" s="27" t="s">
        <v>99</v>
      </c>
    </row>
    <row r="8" customFormat="false" ht="26.85" hidden="false" customHeight="false" outlineLevel="0" collapsed="false">
      <c r="A8" s="25" t="s">
        <v>104</v>
      </c>
      <c r="B8" s="30" t="s">
        <v>105</v>
      </c>
      <c r="C8" s="27" t="s">
        <v>99</v>
      </c>
    </row>
    <row r="9" customFormat="false" ht="17.15" hidden="false" customHeight="false" outlineLevel="0" collapsed="false">
      <c r="A9" s="25" t="s">
        <v>106</v>
      </c>
      <c r="B9" s="30" t="s">
        <v>107</v>
      </c>
      <c r="C9" s="27" t="s">
        <v>108</v>
      </c>
    </row>
    <row r="10" customFormat="false" ht="17.15" hidden="false" customHeight="false" outlineLevel="0" collapsed="false">
      <c r="A10" s="25" t="s">
        <v>109</v>
      </c>
      <c r="B10" s="30" t="s">
        <v>110</v>
      </c>
      <c r="C10" s="27" t="s">
        <v>111</v>
      </c>
    </row>
    <row r="11" customFormat="false" ht="17.15" hidden="false" customHeight="false" outlineLevel="0" collapsed="false">
      <c r="A11" s="25" t="s">
        <v>112</v>
      </c>
      <c r="B11" s="30" t="s">
        <v>113</v>
      </c>
      <c r="C11" s="27" t="s">
        <v>114</v>
      </c>
    </row>
    <row r="12" customFormat="false" ht="17.15" hidden="false" customHeight="false" outlineLevel="0" collapsed="false">
      <c r="A12" s="25" t="s">
        <v>115</v>
      </c>
      <c r="B12" s="30" t="s">
        <v>116</v>
      </c>
      <c r="C12" s="25" t="s">
        <v>117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3" t="s">
        <v>118</v>
      </c>
      <c r="B14" s="2"/>
      <c r="C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119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120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7.15" hidden="false" customHeight="false" outlineLevel="0" collapsed="false">
      <c r="A4" s="4" t="s">
        <v>38</v>
      </c>
      <c r="B4" s="5" t="s">
        <v>121</v>
      </c>
      <c r="C4" s="5" t="s">
        <v>31</v>
      </c>
      <c r="D4" s="5" t="s">
        <v>122</v>
      </c>
      <c r="E4" s="5" t="s">
        <v>123</v>
      </c>
    </row>
    <row r="5" customFormat="false" ht="32.8" hidden="false" customHeight="false" outlineLevel="0" collapsed="false">
      <c r="A5" s="25" t="n">
        <v>1</v>
      </c>
      <c r="B5" s="26" t="s">
        <v>124</v>
      </c>
      <c r="C5" s="27" t="s">
        <v>125</v>
      </c>
      <c r="D5" s="42" t="s">
        <v>126</v>
      </c>
      <c r="E5" s="42" t="s">
        <v>127</v>
      </c>
    </row>
    <row r="6" customFormat="false" ht="32.8" hidden="false" customHeight="false" outlineLevel="0" collapsed="false">
      <c r="A6" s="25" t="n">
        <v>2</v>
      </c>
      <c r="B6" s="26" t="s">
        <v>128</v>
      </c>
      <c r="C6" s="27" t="s">
        <v>129</v>
      </c>
      <c r="D6" s="42"/>
      <c r="E6" s="42"/>
    </row>
    <row r="7" customFormat="false" ht="32.8" hidden="false" customHeight="false" outlineLevel="0" collapsed="false">
      <c r="A7" s="25" t="n">
        <v>3</v>
      </c>
      <c r="B7" s="30" t="s">
        <v>130</v>
      </c>
      <c r="C7" s="27" t="s">
        <v>131</v>
      </c>
      <c r="D7" s="42"/>
      <c r="E7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2026-10-19T04:37:50Z</dcterms:created>
  <dc:creator>openpyxl</dc:creator>
  <dc:description/>
  <dc:language>en-US</dc:language>
  <cp:lastModifiedBy/>
  <dcterms:modified xsi:type="dcterms:W3CDTF">2026-10-19T04:37:50Z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